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D:\TAREAS DE DEEP\"/>
    </mc:Choice>
  </mc:AlternateContent>
  <xr:revisionPtr revIDLastSave="0" documentId="13_ncr:1_{3A0A2C88-96EF-42B7-8B27-BE6DA1DE17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N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72" i="1" l="1"/>
  <c r="X72" i="1"/>
  <c r="J86" i="1"/>
  <c r="L63" i="1"/>
  <c r="L64" i="1"/>
  <c r="L65" i="1"/>
  <c r="L66" i="1"/>
  <c r="L67" i="1"/>
  <c r="L62" i="1"/>
  <c r="M25" i="1"/>
  <c r="M27" i="1"/>
  <c r="M28" i="1"/>
  <c r="M29" i="1"/>
  <c r="M30" i="1"/>
  <c r="M31" i="1"/>
  <c r="M32" i="1"/>
  <c r="M33" i="1"/>
  <c r="M34" i="1"/>
  <c r="M35" i="1"/>
  <c r="M36" i="1"/>
  <c r="M37" i="1"/>
  <c r="M26" i="1"/>
  <c r="N25" i="1"/>
  <c r="Y67" i="1"/>
  <c r="AD67" i="1" s="1"/>
  <c r="X67" i="1"/>
  <c r="W67" i="1"/>
  <c r="Y66" i="1"/>
  <c r="X66" i="1"/>
  <c r="W66" i="1"/>
  <c r="Y65" i="1"/>
  <c r="AC65" i="1" s="1"/>
  <c r="X65" i="1"/>
  <c r="W65" i="1"/>
  <c r="Y64" i="1"/>
  <c r="X64" i="1"/>
  <c r="W64" i="1"/>
  <c r="Y63" i="1"/>
  <c r="AA63" i="1" s="1"/>
  <c r="X63" i="1"/>
  <c r="W63" i="1"/>
  <c r="Y62" i="1"/>
  <c r="AD62" i="1" s="1"/>
  <c r="X62" i="1"/>
  <c r="W62" i="1"/>
  <c r="N62" i="1" l="1" a="1"/>
  <c r="N62" i="1" s="1"/>
  <c r="P62" i="1" s="1" a="1"/>
  <c r="AD65" i="1"/>
  <c r="AA62" i="1"/>
  <c r="AC62" i="1"/>
  <c r="AB64" i="1"/>
  <c r="AB63" i="1"/>
  <c r="AD63" i="1"/>
  <c r="AD66" i="1"/>
  <c r="AC63" i="1"/>
  <c r="AB62" i="1"/>
  <c r="AC64" i="1"/>
  <c r="AD64" i="1"/>
  <c r="AA65" i="1"/>
  <c r="AB65" i="1"/>
  <c r="AA67" i="1"/>
  <c r="AA66" i="1"/>
  <c r="AB67" i="1"/>
  <c r="AB66" i="1"/>
  <c r="AC67" i="1"/>
  <c r="AA64" i="1"/>
  <c r="AC66" i="1"/>
  <c r="P62" i="1" l="1"/>
  <c r="K72" i="1" s="1" a="1"/>
  <c r="K72" i="1" s="1"/>
  <c r="O25" i="1" a="1"/>
  <c r="O25" i="1" s="1"/>
  <c r="Q25" i="1" s="1" a="1"/>
  <c r="Q25" i="1" l="1"/>
  <c r="L43" i="1" l="1" a="1"/>
  <c r="L43" i="1" s="1"/>
  <c r="R25" i="1" a="1"/>
  <c r="R2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<sst xmlns="http://schemas.openxmlformats.org/spreadsheetml/2006/main" count="107" uniqueCount="61">
  <si>
    <t>1. DATOS ORIGINALES</t>
  </si>
  <si>
    <t>Baño</t>
  </si>
  <si>
    <t>Regalo</t>
  </si>
  <si>
    <t>Género</t>
  </si>
  <si>
    <t>Cine</t>
  </si>
  <si>
    <t>Pareja (Clase)</t>
  </si>
  <si>
    <t>Distancia</t>
  </si>
  <si>
    <t>Class</t>
  </si>
  <si>
    <t>Yes X</t>
  </si>
  <si>
    <t>Yes Y</t>
  </si>
  <si>
    <t>No X</t>
  </si>
  <si>
    <t>No Y</t>
  </si>
  <si>
    <t>s</t>
  </si>
  <si>
    <t>f</t>
  </si>
  <si>
    <t>v</t>
  </si>
  <si>
    <t>t</t>
  </si>
  <si>
    <t>n</t>
  </si>
  <si>
    <t>m</t>
  </si>
  <si>
    <t>r</t>
  </si>
  <si>
    <t>Eje X:</t>
  </si>
  <si>
    <t>p</t>
  </si>
  <si>
    <t>a</t>
  </si>
  <si>
    <t>Eje Y:</t>
  </si>
  <si>
    <t>c</t>
  </si>
  <si>
    <t>Valor de K:</t>
  </si>
  <si>
    <t>TU CASO (Num):</t>
  </si>
  <si>
    <t>K</t>
  </si>
  <si>
    <t>Categorias ordenadas</t>
  </si>
  <si>
    <t>Distancias ordenadas</t>
  </si>
  <si>
    <t>CATEGORIAS k vecinos</t>
  </si>
  <si>
    <t>Indice numerico</t>
  </si>
  <si>
    <t>KNN</t>
  </si>
  <si>
    <t>DATOS</t>
  </si>
  <si>
    <t>X1</t>
  </si>
  <si>
    <t>X2</t>
  </si>
  <si>
    <t>Y</t>
  </si>
  <si>
    <t>Peso (kg)</t>
  </si>
  <si>
    <t>Altura (cm)</t>
  </si>
  <si>
    <t>Talla</t>
  </si>
  <si>
    <t>DISTANCIA NUEVO CLIENTE</t>
  </si>
  <si>
    <t>Tallas ordenadas</t>
  </si>
  <si>
    <t>Tallas k vecinos</t>
  </si>
  <si>
    <t>XG</t>
  </si>
  <si>
    <t>M</t>
  </si>
  <si>
    <t>CH</t>
  </si>
  <si>
    <t>G</t>
  </si>
  <si>
    <t>CASO DE PRUEBA</t>
  </si>
  <si>
    <t>Y`</t>
  </si>
  <si>
    <t>Talla ?</t>
  </si>
  <si>
    <t>?</t>
  </si>
  <si>
    <t>TAREA MODELO EN EXCEL</t>
  </si>
  <si>
    <t>EJEMPLO TEORICO</t>
  </si>
  <si>
    <t>EJEMPLO PAREJA</t>
  </si>
  <si>
    <t>ESTIMACION(prueba)</t>
  </si>
  <si>
    <t>Dinamico  X</t>
  </si>
  <si>
    <t>Dinamico Y</t>
  </si>
  <si>
    <t>GRAFICO VECINOS MAS CERCANOS CON 2 COLUMNAS</t>
  </si>
  <si>
    <t>2. CONVERSION NUMERICA</t>
  </si>
  <si>
    <t>3. CONTROL DEL GRAFICO</t>
  </si>
  <si>
    <t>Escoger un modelo y realizar en excel</t>
  </si>
  <si>
    <t>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</si>
</sst>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4"/>
      <color rgb="FFFF0000"/>
      <name val="Calibri"/>
      <family val="2"/>
    </font>
    <font>
      <b/>
      <sz val="11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A9D08E"/>
      </patternFill>
    </fill>
    <fill>
      <patternFill patternType="solid">
        <fgColor rgb="FFED7D31"/>
      </patternFill>
    </fill>
    <fill>
      <patternFill patternType="solid">
        <fgColor rgb="FFFFD966"/>
      </patternFill>
    </fill>
    <fill>
      <patternFill patternType="solid">
        <fgColor rgb="FFFFFF00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0" borderId="0" xfId="0" applyFont="1"/>
    <xf numFmtId="0" fontId="6" fillId="7" borderId="2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/>
    <xf numFmtId="2" fontId="0" fillId="0" borderId="1" xfId="0" applyNumberFormat="1" applyBorder="1" applyAlignment="1">
      <alignment horizontal="center"/>
    </xf>
    <xf numFmtId="0" fontId="0" fillId="0" borderId="1" xfId="0" applyBorder="1"/>
    <xf numFmtId="0" fontId="0" fillId="8" borderId="0" xfId="0" applyFill="1"/>
    <xf numFmtId="0" fontId="0" fillId="9" borderId="3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10" borderId="5" xfId="0" applyFill="1" applyBorder="1" applyAlignment="1">
      <alignment horizontal="center"/>
    </xf>
    <xf numFmtId="0" fontId="6" fillId="0" borderId="1" xfId="0" applyFont="1" applyBorder="1"/>
    <xf numFmtId="0" fontId="6" fillId="7" borderId="1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11" borderId="7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2" fontId="0" fillId="0" borderId="10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2" fontId="0" fillId="0" borderId="12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0" fillId="0" borderId="15" xfId="0" applyBorder="1"/>
    <xf numFmtId="0" fontId="0" fillId="11" borderId="8" xfId="0" applyFill="1" applyBorder="1" applyAlignment="1">
      <alignment horizontal="center"/>
    </xf>
    <xf numFmtId="0" fontId="0" fillId="10" borderId="16" xfId="0" applyFill="1" applyBorder="1" applyAlignment="1">
      <alignment horizontal="center"/>
    </xf>
    <xf numFmtId="0" fontId="0" fillId="12" borderId="0" xfId="0" applyFill="1" applyAlignment="1">
      <alignment horizontal="center"/>
    </xf>
    <xf numFmtId="2" fontId="0" fillId="0" borderId="0" xfId="0" applyNumberFormat="1" applyAlignment="1">
      <alignment horizont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3" borderId="6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6" xfId="0" applyBorder="1"/>
    <xf numFmtId="0" fontId="0" fillId="0" borderId="27" xfId="0" applyBorder="1"/>
    <xf numFmtId="0" fontId="4" fillId="0" borderId="0" xfId="0" applyFont="1"/>
    <xf numFmtId="0" fontId="3" fillId="0" borderId="0" xfId="0" applyFont="1"/>
    <xf numFmtId="0" fontId="5" fillId="6" borderId="0" xfId="0" applyFont="1" applyFill="1" applyAlignment="1">
      <alignment horizontal="center"/>
    </xf>
    <xf numFmtId="9" fontId="0" fillId="0" borderId="0" xfId="0" applyNumberFormat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9" fillId="0" borderId="26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10" fillId="0" borderId="25" xfId="0" applyFont="1" applyBorder="1" applyAlignment="1">
      <alignment horizontal="center"/>
    </xf>
    <xf numFmtId="0" fontId="12" fillId="0" borderId="17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6" fillId="0" borderId="23" xfId="0" applyFont="1" applyBorder="1" applyAlignment="1">
      <alignment horizontal="center"/>
    </xf>
    <xf numFmtId="0" fontId="6" fillId="0" borderId="24" xfId="0" applyFont="1" applyBorder="1" applyAlignment="1">
      <alignment horizontal="center"/>
    </xf>
    <xf numFmtId="0" fontId="6" fillId="0" borderId="25" xfId="0" applyFont="1" applyBorder="1" applyAlignment="1">
      <alignment horizontal="center"/>
    </xf>
    <xf numFmtId="0" fontId="8" fillId="0" borderId="23" xfId="0" applyFont="1" applyBorder="1" applyAlignment="1">
      <alignment horizontal="center"/>
    </xf>
    <xf numFmtId="0" fontId="8" fillId="0" borderId="24" xfId="0" applyFont="1" applyBorder="1" applyAlignment="1">
      <alignment horizontal="center"/>
    </xf>
    <xf numFmtId="0" fontId="8" fillId="0" borderId="25" xfId="0" applyFont="1" applyBorder="1" applyAlignment="1">
      <alignment horizontal="center"/>
    </xf>
    <xf numFmtId="0" fontId="11" fillId="0" borderId="18" xfId="0" applyFont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0" fillId="0" borderId="0" xfId="0"/>
    <xf numFmtId="0" fontId="3" fillId="4" borderId="0" xfId="0" applyFont="1" applyFill="1" applyAlignment="1">
      <alignment horizontal="center"/>
    </xf>
    <xf numFmtId="0" fontId="7" fillId="8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6" fillId="0" borderId="17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2" xfId="0" applyBorder="1" applyAlignment="1">
      <alignment horizontal="center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BO"/>
              <a:t>Mapa de Vecinos (Dinámico)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Pareja: SÍ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prstDash val="solid"/>
              </a:ln>
            </c:spPr>
          </c:marker>
          <c:xVal>
            <c:numRef>
              <c:f>KNN!$AA$62:$AA$67</c:f>
              <c:numCache>
                <c:formatCode>General</c:formatCode>
                <c:ptCount val="6"/>
                <c:pt idx="0">
                  <c:v>1</c:v>
                </c:pt>
                <c:pt idx="1">
                  <c:v>#N/A</c:v>
                </c:pt>
                <c:pt idx="2">
                  <c:v>2</c:v>
                </c:pt>
                <c:pt idx="3">
                  <c:v>3</c:v>
                </c:pt>
                <c:pt idx="4">
                  <c:v>#N/A</c:v>
                </c:pt>
                <c:pt idx="5">
                  <c:v>3</c:v>
                </c:pt>
              </c:numCache>
            </c:numRef>
          </c:xVal>
          <c:yVal>
            <c:numRef>
              <c:f>KNN!$AB$62:$AB$67</c:f>
              <c:numCache>
                <c:formatCode>General</c:formatCode>
                <c:ptCount val="6"/>
                <c:pt idx="0">
                  <c:v>1</c:v>
                </c:pt>
                <c:pt idx="1">
                  <c:v>#N/A</c:v>
                </c:pt>
                <c:pt idx="2">
                  <c:v>0</c:v>
                </c:pt>
                <c:pt idx="3">
                  <c:v>0</c:v>
                </c:pt>
                <c:pt idx="4">
                  <c:v>#N/A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7B5-4B68-AEB3-8CCF06C39D4C}"/>
            </c:ext>
          </c:extLst>
        </c:ser>
        <c:ser>
          <c:idx val="1"/>
          <c:order val="1"/>
          <c:tx>
            <c:v>Pareja: NO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prstDash val="solid"/>
              </a:ln>
            </c:spPr>
          </c:marker>
          <c:xVal>
            <c:numRef>
              <c:f>KNN!$AC$62:$AC$67</c:f>
              <c:numCache>
                <c:formatCode>General</c:formatCode>
                <c:ptCount val="6"/>
                <c:pt idx="0">
                  <c:v>#N/A</c:v>
                </c:pt>
                <c:pt idx="1">
                  <c:v>1</c:v>
                </c:pt>
                <c:pt idx="2">
                  <c:v>#N/A</c:v>
                </c:pt>
                <c:pt idx="3">
                  <c:v>#N/A</c:v>
                </c:pt>
                <c:pt idx="4">
                  <c:v>2</c:v>
                </c:pt>
                <c:pt idx="5">
                  <c:v>#N/A</c:v>
                </c:pt>
              </c:numCache>
            </c:numRef>
          </c:xVal>
          <c:yVal>
            <c:numRef>
              <c:f>KNN!$AD$62:$AD$67</c:f>
              <c:numCache>
                <c:formatCode>General</c:formatCode>
                <c:ptCount val="6"/>
                <c:pt idx="0">
                  <c:v>#N/A</c:v>
                </c:pt>
                <c:pt idx="1">
                  <c:v>0</c:v>
                </c:pt>
                <c:pt idx="2">
                  <c:v>#N/A</c:v>
                </c:pt>
                <c:pt idx="3">
                  <c:v>#N/A</c:v>
                </c:pt>
                <c:pt idx="4">
                  <c:v>1</c:v>
                </c:pt>
                <c:pt idx="5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7B5-4B68-AEB3-8CCF06C39D4C}"/>
            </c:ext>
          </c:extLst>
        </c:ser>
        <c:ser>
          <c:idx val="2"/>
          <c:order val="2"/>
          <c:tx>
            <c:v>TU CASO</c:v>
          </c:tx>
          <c:spPr>
            <a:ln>
              <a:prstDash val="solid"/>
            </a:ln>
          </c:spPr>
          <c:marker>
            <c:symbol val="diamond"/>
            <c:size val="15"/>
            <c:spPr>
              <a:solidFill>
                <a:srgbClr val="0070C0"/>
              </a:solidFill>
              <a:ln>
                <a:prstDash val="solid"/>
              </a:ln>
            </c:spPr>
          </c:marker>
          <c:xVal>
            <c:numRef>
              <c:f>KNN!$W$72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KNN!$X$72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7B5-4B68-AEB3-8CCF06C39D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BO"/>
                  <a:t>Eje X (Seleccionado)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BO"/>
                  <a:t>Eje Y (Seleccionado)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Altura (cm) vs Peso (kg)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KNN!$K$24</c:f>
              <c:strCache>
                <c:ptCount val="1"/>
                <c:pt idx="0">
                  <c:v>Altura (cm)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9772BF33-1D90-4D4C-BF66-656AE51FB0DF}" type="CELLRANGE">
                      <a:rPr lang="en-US"/>
                      <a:pPr/>
                      <a:t>[CELLRANGE]</a:t>
                    </a:fld>
                    <a:endParaRPr lang="es-BO"/>
                  </a:p>
                </c:rich>
              </c:tx>
              <c:dLblPos val="t"/>
              <c:showLegendKey val="0"/>
              <c:showVal val="1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9821-4130-815F-6E5E6FC6229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B1B4634-D824-48FA-B1B5-C444E2E2F452}" type="CELLRANGE">
                      <a:rPr lang="en-US"/>
                      <a:pPr/>
                      <a:t>[CELLRANGE]</a:t>
                    </a:fld>
                    <a:endParaRPr lang="es-BO"/>
                  </a:p>
                </c:rich>
              </c:tx>
              <c:dLblPos val="t"/>
              <c:showLegendKey val="0"/>
              <c:showVal val="1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9821-4130-815F-6E5E6FC6229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9886D51-8BAF-48CF-8214-49411BE18D1F}" type="CELLRANGE">
                      <a:rPr lang="en-US"/>
                      <a:pPr/>
                      <a:t>[CELLRANGE]</a:t>
                    </a:fld>
                    <a:endParaRPr lang="es-BO"/>
                  </a:p>
                </c:rich>
              </c:tx>
              <c:dLblPos val="t"/>
              <c:showLegendKey val="0"/>
              <c:showVal val="1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9821-4130-815F-6E5E6FC6229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0404635-6969-461D-8C41-D3AF031FF772}" type="CELLRANGE">
                      <a:rPr lang="en-US"/>
                      <a:pPr/>
                      <a:t>[CELLRANGE]</a:t>
                    </a:fld>
                    <a:endParaRPr lang="es-BO"/>
                  </a:p>
                </c:rich>
              </c:tx>
              <c:dLblPos val="t"/>
              <c:showLegendKey val="0"/>
              <c:showVal val="1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9821-4130-815F-6E5E6FC6229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8857697-008E-4737-8496-E06DB50250A0}" type="CELLRANGE">
                      <a:rPr lang="en-US"/>
                      <a:pPr/>
                      <a:t>[CELLRANGE]</a:t>
                    </a:fld>
                    <a:endParaRPr lang="es-BO"/>
                  </a:p>
                </c:rich>
              </c:tx>
              <c:dLblPos val="t"/>
              <c:showLegendKey val="0"/>
              <c:showVal val="1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9821-4130-815F-6E5E6FC6229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DA329609-CFAD-448A-BA6B-A67AA89B0F42}" type="CELLRANGE">
                      <a:rPr lang="en-US"/>
                      <a:pPr/>
                      <a:t>[CELLRANGE]</a:t>
                    </a:fld>
                    <a:endParaRPr lang="es-BO"/>
                  </a:p>
                </c:rich>
              </c:tx>
              <c:dLblPos val="t"/>
              <c:showLegendKey val="0"/>
              <c:showVal val="1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9821-4130-815F-6E5E6FC6229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D3C0CFA-1CD4-4275-BDF1-6309C41D9C28}" type="CELLRANGE">
                      <a:rPr lang="en-US"/>
                      <a:pPr/>
                      <a:t>[CELLRANGE]</a:t>
                    </a:fld>
                    <a:endParaRPr lang="es-BO"/>
                  </a:p>
                </c:rich>
              </c:tx>
              <c:dLblPos val="t"/>
              <c:showLegendKey val="0"/>
              <c:showVal val="1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9821-4130-815F-6E5E6FC6229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8F90343A-5B61-4DE9-AF7F-3A924D0D0D3E}" type="CELLRANGE">
                      <a:rPr lang="en-US"/>
                      <a:pPr/>
                      <a:t>[CELLRANGE]</a:t>
                    </a:fld>
                    <a:endParaRPr lang="es-BO"/>
                  </a:p>
                </c:rich>
              </c:tx>
              <c:dLblPos val="t"/>
              <c:showLegendKey val="0"/>
              <c:showVal val="1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9821-4130-815F-6E5E6FC6229B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43C6A43E-3333-42B6-81D8-1D171FEEEC5F}" type="CELLRANGE">
                      <a:rPr lang="en-US"/>
                      <a:pPr/>
                      <a:t>[CELLRANGE]</a:t>
                    </a:fld>
                    <a:endParaRPr lang="es-BO"/>
                  </a:p>
                </c:rich>
              </c:tx>
              <c:dLblPos val="t"/>
              <c:showLegendKey val="0"/>
              <c:showVal val="1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9821-4130-815F-6E5E6FC6229B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928D2047-7291-4830-9033-C44368555775}" type="CELLRANGE">
                      <a:rPr lang="en-US"/>
                      <a:pPr/>
                      <a:t>[CELLRANGE]</a:t>
                    </a:fld>
                    <a:endParaRPr lang="es-BO"/>
                  </a:p>
                </c:rich>
              </c:tx>
              <c:dLblPos val="t"/>
              <c:showLegendKey val="0"/>
              <c:showVal val="1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9821-4130-815F-6E5E6FC6229B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2850F7CC-BAB4-4CAD-BA5E-9ACC2D2F02C0}" type="CELLRANGE">
                      <a:rPr lang="en-US"/>
                      <a:pPr/>
                      <a:t>[CELLRANGE]</a:t>
                    </a:fld>
                    <a:endParaRPr lang="es-BO"/>
                  </a:p>
                </c:rich>
              </c:tx>
              <c:dLblPos val="t"/>
              <c:showLegendKey val="0"/>
              <c:showVal val="1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9821-4130-815F-6E5E6FC6229B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D455B875-AD07-4B57-8E71-96C8CF799BBA}" type="CELLRANGE">
                      <a:rPr lang="en-US"/>
                      <a:pPr/>
                      <a:t>[CELLRANGE]</a:t>
                    </a:fld>
                    <a:endParaRPr lang="es-BO"/>
                  </a:p>
                </c:rich>
              </c:tx>
              <c:dLblPos val="t"/>
              <c:showLegendKey val="0"/>
              <c:showVal val="1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9821-4130-815F-6E5E6FC6229B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0F9D3BB0-5EC3-4B3E-AC3A-F924584806CF}" type="CELLRANGE">
                      <a:rPr lang="en-US"/>
                      <a:pPr/>
                      <a:t>[CELLRANGE]</a:t>
                    </a:fld>
                    <a:endParaRPr lang="es-BO"/>
                  </a:p>
                </c:rich>
              </c:tx>
              <c:dLblPos val="t"/>
              <c:showLegendKey val="0"/>
              <c:showVal val="1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9821-4130-815F-6E5E6FC6229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t"/>
            <c:showLegendKey val="0"/>
            <c:showVal val="1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KNN!$J$25:$J$37</c:f>
              <c:numCache>
                <c:formatCode>General</c:formatCode>
                <c:ptCount val="13"/>
                <c:pt idx="0">
                  <c:v>90</c:v>
                </c:pt>
                <c:pt idx="1">
                  <c:v>66</c:v>
                </c:pt>
                <c:pt idx="2">
                  <c:v>68</c:v>
                </c:pt>
                <c:pt idx="3">
                  <c:v>55</c:v>
                </c:pt>
                <c:pt idx="4">
                  <c:v>58</c:v>
                </c:pt>
                <c:pt idx="5">
                  <c:v>70</c:v>
                </c:pt>
                <c:pt idx="6">
                  <c:v>65</c:v>
                </c:pt>
                <c:pt idx="7">
                  <c:v>60</c:v>
                </c:pt>
                <c:pt idx="8">
                  <c:v>105</c:v>
                </c:pt>
                <c:pt idx="9">
                  <c:v>75</c:v>
                </c:pt>
                <c:pt idx="10">
                  <c:v>75</c:v>
                </c:pt>
                <c:pt idx="11">
                  <c:v>80</c:v>
                </c:pt>
                <c:pt idx="12">
                  <c:v>98</c:v>
                </c:pt>
              </c:numCache>
            </c:numRef>
          </c:xVal>
          <c:yVal>
            <c:numRef>
              <c:f>KNN!$K$25:$K$37</c:f>
              <c:numCache>
                <c:formatCode>General</c:formatCode>
                <c:ptCount val="13"/>
                <c:pt idx="0">
                  <c:v>190</c:v>
                </c:pt>
                <c:pt idx="1">
                  <c:v>167</c:v>
                </c:pt>
                <c:pt idx="2">
                  <c:v>171</c:v>
                </c:pt>
                <c:pt idx="3">
                  <c:v>160</c:v>
                </c:pt>
                <c:pt idx="4">
                  <c:v>165</c:v>
                </c:pt>
                <c:pt idx="5">
                  <c:v>168</c:v>
                </c:pt>
                <c:pt idx="6">
                  <c:v>166</c:v>
                </c:pt>
                <c:pt idx="7">
                  <c:v>160</c:v>
                </c:pt>
                <c:pt idx="8">
                  <c:v>189</c:v>
                </c:pt>
                <c:pt idx="9">
                  <c:v>175</c:v>
                </c:pt>
                <c:pt idx="10">
                  <c:v>180</c:v>
                </c:pt>
                <c:pt idx="11">
                  <c:v>182</c:v>
                </c:pt>
                <c:pt idx="12">
                  <c:v>195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KNN!$L$25:$L$37</c15:f>
                <c15:dlblRangeCache>
                  <c:ptCount val="13"/>
                  <c:pt idx="0">
                    <c:v>XG</c:v>
                  </c:pt>
                  <c:pt idx="1">
                    <c:v>M</c:v>
                  </c:pt>
                  <c:pt idx="2">
                    <c:v>M</c:v>
                  </c:pt>
                  <c:pt idx="3">
                    <c:v>CH</c:v>
                  </c:pt>
                  <c:pt idx="4">
                    <c:v>CH</c:v>
                  </c:pt>
                  <c:pt idx="5">
                    <c:v>M</c:v>
                  </c:pt>
                  <c:pt idx="6">
                    <c:v>M</c:v>
                  </c:pt>
                  <c:pt idx="7">
                    <c:v>CH</c:v>
                  </c:pt>
                  <c:pt idx="8">
                    <c:v>XG</c:v>
                  </c:pt>
                  <c:pt idx="9">
                    <c:v>G</c:v>
                  </c:pt>
                  <c:pt idx="10">
                    <c:v>G</c:v>
                  </c:pt>
                  <c:pt idx="11">
                    <c:v>G</c:v>
                  </c:pt>
                  <c:pt idx="12">
                    <c:v>XG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9821-4130-815F-6E5E6FC6229B}"/>
            </c:ext>
          </c:extLst>
        </c:ser>
        <c:ser>
          <c:idx val="1"/>
          <c:order val="1"/>
          <c:tx>
            <c:v>TEST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KNN!$J$43</c:f>
              <c:numCache>
                <c:formatCode>General</c:formatCode>
                <c:ptCount val="1"/>
                <c:pt idx="0">
                  <c:v>73</c:v>
                </c:pt>
              </c:numCache>
            </c:numRef>
          </c:xVal>
          <c:yVal>
            <c:numRef>
              <c:f>KNN!$K$43</c:f>
              <c:numCache>
                <c:formatCode>General</c:formatCode>
                <c:ptCount val="1"/>
                <c:pt idx="0">
                  <c:v>175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7B-4D7D-B263-AB699493C42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2069106799"/>
        <c:axId val="2069107279"/>
      </c:scatterChart>
      <c:valAx>
        <c:axId val="2069106799"/>
        <c:scaling>
          <c:orientation val="minMax"/>
          <c:min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BO" b="1"/>
                  <a:t>Altura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2069107279"/>
        <c:crosses val="autoZero"/>
        <c:crossBetween val="midCat"/>
      </c:valAx>
      <c:valAx>
        <c:axId val="2069107279"/>
        <c:scaling>
          <c:orientation val="minMax"/>
          <c:min val="1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BO" sz="1000" b="1" i="0" u="none" strike="noStrike" baseline="0">
                    <a:effectLst/>
                  </a:rPr>
                  <a:t>Peso (kg)</a:t>
                </a:r>
                <a:r>
                  <a:rPr lang="es-BO" sz="1000" b="0" i="0" u="none" strike="noStrike" baseline="0">
                    <a:effectLst/>
                  </a:rPr>
                  <a:t> </a:t>
                </a:r>
                <a:endParaRPr lang="es-B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2069106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594953</xdr:colOff>
      <xdr:row>76</xdr:row>
      <xdr:rowOff>9995</xdr:rowOff>
    </xdr:from>
    <xdr:ext cx="54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1</xdr:col>
      <xdr:colOff>264584</xdr:colOff>
      <xdr:row>20</xdr:row>
      <xdr:rowOff>344593</xdr:rowOff>
    </xdr:from>
    <xdr:to>
      <xdr:col>7</xdr:col>
      <xdr:colOff>538904</xdr:colOff>
      <xdr:row>32</xdr:row>
      <xdr:rowOff>94827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9A4360D-5FEE-4653-8DFE-34A047B1BD5D}"/>
            </a:ext>
          </a:extLst>
        </xdr:cNvPr>
        <xdr:cNvSpPr txBox="1"/>
      </xdr:nvSpPr>
      <xdr:spPr>
        <a:xfrm>
          <a:off x="1057064" y="527473"/>
          <a:ext cx="5029200" cy="217339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BO" b="1"/>
            <a:t>KNN (k-Nearest Neighbors) </a:t>
          </a:r>
          <a:r>
            <a:rPr lang="es-BO"/>
            <a:t>KNN es un algoritmo de </a:t>
          </a:r>
          <a:r>
            <a:rPr lang="es-BO" b="1"/>
            <a:t>aprendizaje supervisado</a:t>
          </a:r>
          <a:r>
            <a:rPr lang="es-BO"/>
            <a:t> que se usa principalmente para </a:t>
          </a:r>
          <a:r>
            <a:rPr lang="es-BO" b="1"/>
            <a:t>clasificación</a:t>
          </a:r>
          <a:r>
            <a:rPr lang="es-BO"/>
            <a:t>. </a:t>
          </a:r>
        </a:p>
        <a:p>
          <a:r>
            <a:rPr lang="es-BO"/>
            <a:t>La</a:t>
          </a:r>
          <a:r>
            <a:rPr lang="es-BO" baseline="0"/>
            <a:t> idea :</a:t>
          </a:r>
          <a:r>
            <a:rPr lang="es-BO"/>
            <a:t> </a:t>
          </a:r>
          <a:r>
            <a:rPr lang="es-BO" b="1"/>
            <a:t>un objeto tiende a pertenecer a la misma clase que sus vecinos más cercanos</a:t>
          </a:r>
          <a:r>
            <a:rPr lang="es-BO"/>
            <a:t>.</a:t>
          </a:r>
        </a:p>
        <a:p>
          <a:r>
            <a:rPr lang="es-BO" b="1"/>
            <a:t>Paso a paso de su funcionamiento:</a:t>
          </a:r>
          <a:endParaRPr lang="es-BO"/>
        </a:p>
        <a:p>
          <a:r>
            <a:rPr lang="es-BO" b="1"/>
            <a:t>Elegir k</a:t>
          </a:r>
          <a:r>
            <a:rPr lang="es-BO"/>
            <a:t>, el número de vecinos a considerar.</a:t>
          </a:r>
        </a:p>
        <a:p>
          <a:r>
            <a:rPr lang="es-BO" b="1"/>
            <a:t>Medir la distancia</a:t>
          </a:r>
          <a:r>
            <a:rPr lang="es-BO"/>
            <a:t> entre el punto que queremos clasificar y todos los puntos del conjunto de datos (usualmente se usa la distancia euclidiana).</a:t>
          </a:r>
        </a:p>
        <a:p>
          <a:r>
            <a:rPr lang="es-BO" b="1"/>
            <a:t>Seleccionar los k vecinos más cercanos</a:t>
          </a:r>
          <a:r>
            <a:rPr lang="es-BO"/>
            <a:t>.</a:t>
          </a:r>
        </a:p>
        <a:p>
          <a:r>
            <a:rPr lang="es-BO" b="1"/>
            <a:t>Decidir la clase</a:t>
          </a:r>
          <a:r>
            <a:rPr lang="es-BO"/>
            <a:t> del nuevo punto según la mayoría de sus vecinos:</a:t>
          </a:r>
        </a:p>
        <a:p>
          <a:pPr lvl="1"/>
          <a:r>
            <a:rPr lang="es-BO"/>
            <a:t>Si más vecinos son de la clase A → el punto se clasifica como A.</a:t>
          </a:r>
        </a:p>
        <a:p>
          <a:pPr lvl="1"/>
          <a:r>
            <a:rPr lang="es-BO"/>
            <a:t>Si más vecinos son de la clase B → el punto se claifica com B.</a:t>
          </a:r>
        </a:p>
      </xdr:txBody>
    </xdr:sp>
    <xdr:clientData/>
  </xdr:twoCellAnchor>
  <xdr:twoCellAnchor>
    <xdr:from>
      <xdr:col>13</xdr:col>
      <xdr:colOff>1714</xdr:colOff>
      <xdr:row>37</xdr:row>
      <xdr:rowOff>132476</xdr:rowOff>
    </xdr:from>
    <xdr:to>
      <xdr:col>18</xdr:col>
      <xdr:colOff>346363</xdr:colOff>
      <xdr:row>53</xdr:row>
      <xdr:rowOff>151410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AA4AA80-6C59-A160-8093-E5BBEE9F47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108092</xdr:colOff>
      <xdr:row>5</xdr:row>
      <xdr:rowOff>309464</xdr:rowOff>
    </xdr:from>
    <xdr:to>
      <xdr:col>16</xdr:col>
      <xdr:colOff>106516</xdr:colOff>
      <xdr:row>17</xdr:row>
      <xdr:rowOff>195587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1626BF9-B8AE-BB77-EE78-6F7FED047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53630" y="1550156"/>
          <a:ext cx="6573117" cy="38719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7"/>
  <sheetViews>
    <sheetView tabSelected="1" topLeftCell="A25" zoomScale="51" zoomScaleNormal="85" workbookViewId="0">
      <selection activeCell="M50" sqref="M50"/>
    </sheetView>
  </sheetViews>
  <sheetFormatPr baseColWidth="10" defaultColWidth="8.88671875" defaultRowHeight="14.4" x14ac:dyDescent="0.3"/>
  <cols>
    <col min="14" max="14" width="15.21875" customWidth="1"/>
    <col min="15" max="15" width="14.5546875" customWidth="1"/>
    <col min="16" max="16" width="22" customWidth="1"/>
    <col min="17" max="21" width="14.5546875" customWidth="1"/>
    <col min="31" max="31" width="16.6640625" customWidth="1"/>
    <col min="32" max="32" width="16.5546875" customWidth="1"/>
    <col min="33" max="33" width="16.88671875" customWidth="1"/>
  </cols>
  <sheetData>
    <row r="1" spans="6:18" ht="15" thickBot="1" x14ac:dyDescent="0.35"/>
    <row r="2" spans="6:18" x14ac:dyDescent="0.3">
      <c r="F2" s="56" t="s">
        <v>50</v>
      </c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8"/>
    </row>
    <row r="3" spans="6:18" ht="15" thickBot="1" x14ac:dyDescent="0.35">
      <c r="F3" s="59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1"/>
    </row>
    <row r="4" spans="6:18" ht="25.8" x14ac:dyDescent="0.3">
      <c r="F4" s="77" t="s">
        <v>59</v>
      </c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</row>
    <row r="5" spans="6:18" ht="26.4" thickBot="1" x14ac:dyDescent="0.35"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</row>
    <row r="6" spans="6:18" ht="25.8" x14ac:dyDescent="0.3">
      <c r="F6" s="38"/>
      <c r="G6" s="38"/>
      <c r="H6" s="32"/>
      <c r="I6" s="33"/>
      <c r="J6" s="33"/>
      <c r="K6" s="33"/>
      <c r="L6" s="33"/>
      <c r="M6" s="33"/>
      <c r="N6" s="33"/>
      <c r="O6" s="33"/>
      <c r="P6" s="33"/>
      <c r="Q6" s="34"/>
      <c r="R6" s="38"/>
    </row>
    <row r="7" spans="6:18" ht="25.8" x14ac:dyDescent="0.3">
      <c r="F7" s="38"/>
      <c r="G7" s="38"/>
      <c r="H7" s="54"/>
      <c r="I7" s="38"/>
      <c r="J7" s="38"/>
      <c r="K7" s="38"/>
      <c r="L7" s="38"/>
      <c r="M7" s="38"/>
      <c r="N7" s="38"/>
      <c r="O7" s="38"/>
      <c r="P7" s="38"/>
      <c r="Q7" s="55"/>
      <c r="R7" s="38"/>
    </row>
    <row r="8" spans="6:18" ht="25.8" x14ac:dyDescent="0.3">
      <c r="F8" s="38"/>
      <c r="G8" s="38"/>
      <c r="H8" s="54"/>
      <c r="I8" s="38"/>
      <c r="J8" s="38"/>
      <c r="K8" s="38"/>
      <c r="L8" s="38"/>
      <c r="M8" s="38"/>
      <c r="N8" s="38"/>
      <c r="O8" s="38"/>
      <c r="P8" s="38"/>
      <c r="Q8" s="55"/>
      <c r="R8" s="38"/>
    </row>
    <row r="9" spans="6:18" ht="25.8" x14ac:dyDescent="0.3">
      <c r="F9" s="38"/>
      <c r="G9" s="38"/>
      <c r="H9" s="54"/>
      <c r="I9" s="38"/>
      <c r="J9" s="38"/>
      <c r="K9" s="38"/>
      <c r="L9" s="38"/>
      <c r="M9" s="38"/>
      <c r="N9" s="38"/>
      <c r="O9" s="38"/>
      <c r="P9" s="38"/>
      <c r="Q9" s="55"/>
      <c r="R9" s="38"/>
    </row>
    <row r="10" spans="6:18" ht="25.8" x14ac:dyDescent="0.3">
      <c r="F10" s="38"/>
      <c r="G10" s="38"/>
      <c r="H10" s="54"/>
      <c r="I10" s="38"/>
      <c r="J10" s="38"/>
      <c r="K10" s="38"/>
      <c r="L10" s="38"/>
      <c r="M10" s="38"/>
      <c r="N10" s="38"/>
      <c r="O10" s="38"/>
      <c r="P10" s="38"/>
      <c r="Q10" s="55"/>
      <c r="R10" s="38"/>
    </row>
    <row r="11" spans="6:18" ht="25.8" x14ac:dyDescent="0.3">
      <c r="F11" s="38"/>
      <c r="G11" s="38"/>
      <c r="H11" s="54"/>
      <c r="I11" s="38"/>
      <c r="J11" s="38"/>
      <c r="K11" s="38"/>
      <c r="L11" s="38"/>
      <c r="M11" s="38"/>
      <c r="N11" s="38"/>
      <c r="O11" s="38"/>
      <c r="P11" s="38"/>
      <c r="Q11" s="55"/>
      <c r="R11" s="38"/>
    </row>
    <row r="12" spans="6:18" ht="25.8" x14ac:dyDescent="0.3">
      <c r="F12" s="38"/>
      <c r="G12" s="38"/>
      <c r="H12" s="54"/>
      <c r="I12" s="38"/>
      <c r="J12" s="38"/>
      <c r="K12" s="38"/>
      <c r="L12" s="38"/>
      <c r="M12" s="38"/>
      <c r="N12" s="38"/>
      <c r="O12" s="38"/>
      <c r="P12" s="38"/>
      <c r="Q12" s="55"/>
      <c r="R12" s="38"/>
    </row>
    <row r="13" spans="6:18" ht="25.8" x14ac:dyDescent="0.3">
      <c r="F13" s="38"/>
      <c r="G13" s="38"/>
      <c r="H13" s="54"/>
      <c r="I13" s="38"/>
      <c r="J13" s="38"/>
      <c r="K13" s="38"/>
      <c r="L13" s="38"/>
      <c r="M13" s="38"/>
      <c r="N13" s="38"/>
      <c r="O13" s="38"/>
      <c r="P13" s="38"/>
      <c r="Q13" s="55"/>
      <c r="R13" s="38"/>
    </row>
    <row r="14" spans="6:18" ht="25.8" x14ac:dyDescent="0.3">
      <c r="F14" s="38"/>
      <c r="G14" s="38"/>
      <c r="H14" s="54"/>
      <c r="I14" s="38"/>
      <c r="J14" s="38"/>
      <c r="K14" s="38"/>
      <c r="L14" s="38"/>
      <c r="M14" s="38"/>
      <c r="N14" s="38"/>
      <c r="O14" s="38"/>
      <c r="P14" s="38"/>
      <c r="Q14" s="55"/>
      <c r="R14" s="38"/>
    </row>
    <row r="15" spans="6:18" ht="25.8" x14ac:dyDescent="0.3">
      <c r="F15" s="38"/>
      <c r="G15" s="38"/>
      <c r="H15" s="54"/>
      <c r="I15" s="38"/>
      <c r="J15" s="38"/>
      <c r="K15" s="38"/>
      <c r="L15" s="38"/>
      <c r="M15" s="38"/>
      <c r="N15" s="38"/>
      <c r="O15" s="38"/>
      <c r="P15" s="38"/>
      <c r="Q15" s="55"/>
      <c r="R15" s="38"/>
    </row>
    <row r="16" spans="6:18" ht="25.8" x14ac:dyDescent="0.3">
      <c r="F16" s="38"/>
      <c r="G16" s="38"/>
      <c r="H16" s="54"/>
      <c r="I16" s="38"/>
      <c r="J16" s="38"/>
      <c r="K16" s="38"/>
      <c r="L16" s="38"/>
      <c r="M16" s="38"/>
      <c r="N16" s="38"/>
      <c r="O16" s="38"/>
      <c r="P16" s="38"/>
      <c r="Q16" s="55"/>
      <c r="R16" s="38"/>
    </row>
    <row r="17" spans="2:19" ht="25.8" x14ac:dyDescent="0.3">
      <c r="F17" s="38"/>
      <c r="G17" s="38"/>
      <c r="H17" s="54"/>
      <c r="I17" s="38"/>
      <c r="J17" s="38"/>
      <c r="K17" s="38"/>
      <c r="L17" s="38"/>
      <c r="M17" s="38"/>
      <c r="N17" s="38"/>
      <c r="O17" s="38"/>
      <c r="P17" s="38"/>
      <c r="Q17" s="55"/>
      <c r="R17" s="38"/>
    </row>
    <row r="18" spans="2:19" ht="26.4" thickBot="1" x14ac:dyDescent="0.35">
      <c r="F18" s="38"/>
      <c r="G18" s="38"/>
      <c r="H18" s="35"/>
      <c r="I18" s="36"/>
      <c r="J18" s="36"/>
      <c r="K18" s="36"/>
      <c r="L18" s="36"/>
      <c r="M18" s="36"/>
      <c r="N18" s="36"/>
      <c r="O18" s="36"/>
      <c r="P18" s="36"/>
      <c r="Q18" s="37"/>
      <c r="R18" s="38"/>
    </row>
    <row r="19" spans="2:19" ht="26.4" thickBot="1" x14ac:dyDescent="0.35"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</row>
    <row r="20" spans="2:19" ht="15" thickBot="1" x14ac:dyDescent="0.35">
      <c r="I20" s="42"/>
      <c r="J20" s="43"/>
      <c r="K20" s="43"/>
      <c r="L20" s="43"/>
      <c r="M20" s="43"/>
      <c r="N20" s="43"/>
      <c r="O20" s="43"/>
      <c r="P20" s="43"/>
      <c r="Q20" s="43"/>
      <c r="R20" s="43"/>
      <c r="S20" s="44"/>
    </row>
    <row r="21" spans="2:19" ht="31.8" thickBot="1" x14ac:dyDescent="0.65">
      <c r="B21" s="81" t="s">
        <v>31</v>
      </c>
      <c r="C21" s="81"/>
      <c r="D21" s="81"/>
      <c r="E21" s="12"/>
      <c r="F21" s="12"/>
      <c r="G21" s="12"/>
      <c r="H21" s="12"/>
      <c r="I21" s="45"/>
      <c r="J21" s="62" t="s">
        <v>51</v>
      </c>
      <c r="K21" s="63"/>
      <c r="L21" s="63"/>
      <c r="M21" s="63"/>
      <c r="N21" s="63"/>
      <c r="O21" s="63"/>
      <c r="P21" s="63"/>
      <c r="Q21" s="63"/>
      <c r="R21" s="64"/>
      <c r="S21" s="46"/>
    </row>
    <row r="22" spans="2:19" x14ac:dyDescent="0.3">
      <c r="B22" s="12"/>
      <c r="C22" s="12"/>
      <c r="D22" s="12"/>
      <c r="E22" s="12"/>
      <c r="F22" s="12"/>
      <c r="G22" s="12"/>
      <c r="H22" s="12"/>
      <c r="I22" s="45"/>
      <c r="J22" t="s">
        <v>32</v>
      </c>
      <c r="O22" s="39"/>
      <c r="S22" s="46"/>
    </row>
    <row r="23" spans="2:19" ht="15" thickBot="1" x14ac:dyDescent="0.35">
      <c r="B23" s="12"/>
      <c r="C23" s="12"/>
      <c r="D23" s="12"/>
      <c r="E23" s="12"/>
      <c r="F23" s="12"/>
      <c r="G23" s="12"/>
      <c r="H23" s="12"/>
      <c r="I23" s="45"/>
      <c r="J23" s="39" t="s">
        <v>33</v>
      </c>
      <c r="K23" s="39" t="s">
        <v>34</v>
      </c>
      <c r="L23" s="39" t="s">
        <v>35</v>
      </c>
      <c r="O23" s="39"/>
      <c r="S23" s="46"/>
    </row>
    <row r="24" spans="2:19" ht="15" thickBot="1" x14ac:dyDescent="0.35">
      <c r="B24" s="12"/>
      <c r="C24" s="12"/>
      <c r="D24" s="12"/>
      <c r="E24" s="12"/>
      <c r="F24" s="12"/>
      <c r="G24" s="12"/>
      <c r="H24" s="12"/>
      <c r="I24" s="45"/>
      <c r="J24" s="13" t="s">
        <v>36</v>
      </c>
      <c r="K24" s="14" t="s">
        <v>37</v>
      </c>
      <c r="L24" s="15" t="s">
        <v>38</v>
      </c>
      <c r="M24" s="16" t="s">
        <v>39</v>
      </c>
      <c r="N24" s="17" t="s">
        <v>26</v>
      </c>
      <c r="O24" s="8" t="s">
        <v>40</v>
      </c>
      <c r="P24" s="9" t="s">
        <v>28</v>
      </c>
      <c r="Q24" s="16" t="s">
        <v>41</v>
      </c>
      <c r="R24" s="16" t="s">
        <v>30</v>
      </c>
      <c r="S24" s="46"/>
    </row>
    <row r="25" spans="2:19" x14ac:dyDescent="0.3">
      <c r="B25" s="12"/>
      <c r="C25" s="12"/>
      <c r="D25" s="12"/>
      <c r="E25" s="12"/>
      <c r="F25" s="12"/>
      <c r="G25" s="12"/>
      <c r="H25" s="12"/>
      <c r="I25" s="45"/>
      <c r="J25" s="18">
        <v>90</v>
      </c>
      <c r="K25" s="18">
        <v>190</v>
      </c>
      <c r="L25" s="19" t="s">
        <v>42</v>
      </c>
      <c r="M25" s="10">
        <f t="shared" ref="M25:M37" si="0">+SQRT(($J$43-J25)^2 + ($K$43-K25)^2)</f>
        <v>22.671568097509269</v>
      </c>
      <c r="N25" s="20">
        <f>ROUNDDOWN(SQRT(COUNT(J25:J37)), 0)</f>
        <v>3</v>
      </c>
      <c r="O25" s="21" t="str" cm="1">
        <f t="array" ref="O25:P37">_xlfn._xlws.SORT(L25:M37, 2)</f>
        <v>G</v>
      </c>
      <c r="P25" s="22">
        <v>2</v>
      </c>
      <c r="Q25" s="27" t="str" cm="1">
        <f t="array" aca="1" ref="Q25:Q27" ca="1">+OFFSET(O25,0,0,N25,1)</f>
        <v>G</v>
      </c>
      <c r="R25" s="11" cm="1">
        <f t="array" aca="1" ref="R25:R27" ca="1">+MATCH(_xlfn.ANCHORARRAY(Q25),_xlfn.ANCHORARRAY(Q25),0)</f>
        <v>1</v>
      </c>
      <c r="S25" s="46"/>
    </row>
    <row r="26" spans="2:19" x14ac:dyDescent="0.3">
      <c r="B26" s="12"/>
      <c r="C26" s="12"/>
      <c r="D26" s="12"/>
      <c r="E26" s="12"/>
      <c r="F26" s="12"/>
      <c r="G26" s="12"/>
      <c r="H26" s="12"/>
      <c r="I26" s="45"/>
      <c r="J26" s="2">
        <v>66</v>
      </c>
      <c r="K26" s="2">
        <v>167</v>
      </c>
      <c r="L26" s="28" t="s">
        <v>43</v>
      </c>
      <c r="M26" s="10">
        <f t="shared" si="0"/>
        <v>10.63014581273465</v>
      </c>
      <c r="N26" s="20"/>
      <c r="O26" s="23" t="str">
        <v>G</v>
      </c>
      <c r="P26" s="24">
        <v>5.3851648071345037</v>
      </c>
      <c r="Q26" s="27" t="str">
        <f ca="1"/>
        <v>G</v>
      </c>
      <c r="R26" s="11">
        <f ca="1"/>
        <v>1</v>
      </c>
      <c r="S26" s="46"/>
    </row>
    <row r="27" spans="2:19" x14ac:dyDescent="0.3">
      <c r="B27" s="12"/>
      <c r="C27" s="12"/>
      <c r="D27" s="12"/>
      <c r="E27" s="12"/>
      <c r="F27" s="12"/>
      <c r="G27" s="12"/>
      <c r="H27" s="12"/>
      <c r="I27" s="45"/>
      <c r="J27" s="2">
        <v>68</v>
      </c>
      <c r="K27" s="2">
        <v>171</v>
      </c>
      <c r="L27" s="28" t="s">
        <v>43</v>
      </c>
      <c r="M27" s="10">
        <f t="shared" si="0"/>
        <v>6.4031242374328485</v>
      </c>
      <c r="N27" s="20"/>
      <c r="O27" s="23" t="str">
        <v>M</v>
      </c>
      <c r="P27" s="24">
        <v>6.4031242374328485</v>
      </c>
      <c r="Q27" s="27" t="str">
        <f ca="1"/>
        <v>M</v>
      </c>
      <c r="R27" s="11">
        <f ca="1"/>
        <v>3</v>
      </c>
      <c r="S27" s="46"/>
    </row>
    <row r="28" spans="2:19" x14ac:dyDescent="0.3">
      <c r="B28" s="12"/>
      <c r="C28" s="12"/>
      <c r="D28" s="12"/>
      <c r="E28" s="12"/>
      <c r="F28" s="12"/>
      <c r="G28" s="12"/>
      <c r="H28" s="12"/>
      <c r="I28" s="45"/>
      <c r="J28" s="2">
        <v>55</v>
      </c>
      <c r="K28" s="2">
        <v>160</v>
      </c>
      <c r="L28" s="28" t="s">
        <v>44</v>
      </c>
      <c r="M28" s="10">
        <f t="shared" si="0"/>
        <v>23.430749027719962</v>
      </c>
      <c r="N28" s="20"/>
      <c r="O28" s="23" t="str">
        <v>M</v>
      </c>
      <c r="P28" s="24">
        <v>7.6157731058639087</v>
      </c>
      <c r="Q28" s="27"/>
      <c r="R28" s="11"/>
      <c r="S28" s="46"/>
    </row>
    <row r="29" spans="2:19" x14ac:dyDescent="0.3">
      <c r="B29" s="12"/>
      <c r="C29" s="12"/>
      <c r="D29" s="12"/>
      <c r="E29" s="12"/>
      <c r="F29" s="12"/>
      <c r="G29" s="12"/>
      <c r="H29" s="12"/>
      <c r="I29" s="45"/>
      <c r="J29" s="2">
        <v>58</v>
      </c>
      <c r="K29" s="2">
        <v>165</v>
      </c>
      <c r="L29" s="28" t="s">
        <v>44</v>
      </c>
      <c r="M29" s="10">
        <f t="shared" si="0"/>
        <v>18.027756377319946</v>
      </c>
      <c r="N29" s="20"/>
      <c r="O29" s="23" t="str">
        <v>G</v>
      </c>
      <c r="P29" s="24">
        <v>9.8994949366116654</v>
      </c>
      <c r="Q29" s="27"/>
      <c r="R29" s="11"/>
      <c r="S29" s="46"/>
    </row>
    <row r="30" spans="2:19" x14ac:dyDescent="0.3">
      <c r="B30" s="12"/>
      <c r="C30" s="12"/>
      <c r="D30" s="12"/>
      <c r="E30" s="12"/>
      <c r="F30" s="12"/>
      <c r="G30" s="12"/>
      <c r="H30" s="12"/>
      <c r="I30" s="45"/>
      <c r="J30" s="2">
        <v>70</v>
      </c>
      <c r="K30" s="2">
        <v>168</v>
      </c>
      <c r="L30" s="28" t="s">
        <v>43</v>
      </c>
      <c r="M30" s="10">
        <f t="shared" si="0"/>
        <v>7.6157731058639087</v>
      </c>
      <c r="N30" s="20"/>
      <c r="O30" s="23" t="str">
        <v>M</v>
      </c>
      <c r="P30" s="24">
        <v>10.63014581273465</v>
      </c>
      <c r="Q30" s="27"/>
      <c r="R30" s="11"/>
      <c r="S30" s="46"/>
    </row>
    <row r="31" spans="2:19" x14ac:dyDescent="0.3">
      <c r="B31" s="12"/>
      <c r="C31" s="12"/>
      <c r="D31" s="12"/>
      <c r="E31" s="12"/>
      <c r="F31" s="12"/>
      <c r="G31" s="12"/>
      <c r="H31" s="12"/>
      <c r="I31" s="45"/>
      <c r="J31" s="2">
        <v>65</v>
      </c>
      <c r="K31" s="2">
        <v>166</v>
      </c>
      <c r="L31" s="28" t="s">
        <v>43</v>
      </c>
      <c r="M31" s="10">
        <f t="shared" si="0"/>
        <v>12.041594578792296</v>
      </c>
      <c r="N31" s="20"/>
      <c r="O31" s="23" t="str">
        <v>M</v>
      </c>
      <c r="P31" s="24">
        <v>12.041594578792296</v>
      </c>
      <c r="Q31" s="27"/>
      <c r="R31" s="11"/>
      <c r="S31" s="46"/>
    </row>
    <row r="32" spans="2:19" x14ac:dyDescent="0.3">
      <c r="B32" s="12"/>
      <c r="C32" s="12"/>
      <c r="D32" s="12"/>
      <c r="E32" s="12"/>
      <c r="F32" s="12"/>
      <c r="G32" s="12"/>
      <c r="H32" s="12"/>
      <c r="I32" s="45"/>
      <c r="J32" s="2">
        <v>60</v>
      </c>
      <c r="K32" s="2">
        <v>160</v>
      </c>
      <c r="L32" s="28" t="s">
        <v>44</v>
      </c>
      <c r="M32" s="10">
        <f t="shared" si="0"/>
        <v>19.849433241279208</v>
      </c>
      <c r="N32" s="20"/>
      <c r="O32" s="23" t="str">
        <v>CH</v>
      </c>
      <c r="P32" s="24">
        <v>18.027756377319946</v>
      </c>
      <c r="Q32" s="27"/>
      <c r="R32" s="11"/>
      <c r="S32" s="46"/>
    </row>
    <row r="33" spans="2:19" x14ac:dyDescent="0.3">
      <c r="B33" s="12"/>
      <c r="C33" s="12"/>
      <c r="D33" s="12"/>
      <c r="E33" s="12"/>
      <c r="F33" s="12"/>
      <c r="G33" s="12"/>
      <c r="H33" s="12"/>
      <c r="I33" s="45"/>
      <c r="J33" s="2">
        <v>105</v>
      </c>
      <c r="K33" s="2">
        <v>189</v>
      </c>
      <c r="L33" s="28" t="s">
        <v>42</v>
      </c>
      <c r="M33" s="10">
        <f t="shared" si="0"/>
        <v>34.928498393145958</v>
      </c>
      <c r="N33" s="20"/>
      <c r="O33" s="23" t="str">
        <v>CH</v>
      </c>
      <c r="P33" s="24">
        <v>19.849433241279208</v>
      </c>
      <c r="Q33" s="27"/>
      <c r="R33" s="11"/>
      <c r="S33" s="46"/>
    </row>
    <row r="34" spans="2:19" x14ac:dyDescent="0.3">
      <c r="I34" s="45"/>
      <c r="J34" s="2">
        <v>75</v>
      </c>
      <c r="K34" s="2">
        <v>175</v>
      </c>
      <c r="L34" s="28" t="s">
        <v>45</v>
      </c>
      <c r="M34" s="10">
        <f t="shared" si="0"/>
        <v>2</v>
      </c>
      <c r="N34" s="20"/>
      <c r="O34" s="23" t="str">
        <v>XG</v>
      </c>
      <c r="P34" s="24">
        <v>22.671568097509269</v>
      </c>
      <c r="Q34" s="27"/>
      <c r="R34" s="11"/>
      <c r="S34" s="46"/>
    </row>
    <row r="35" spans="2:19" x14ac:dyDescent="0.3">
      <c r="I35" s="45"/>
      <c r="J35" s="2">
        <v>75</v>
      </c>
      <c r="K35" s="2">
        <v>180</v>
      </c>
      <c r="L35" s="28" t="s">
        <v>45</v>
      </c>
      <c r="M35" s="10">
        <f t="shared" si="0"/>
        <v>5.3851648071345037</v>
      </c>
      <c r="N35" s="20"/>
      <c r="O35" s="23" t="str">
        <v>CH</v>
      </c>
      <c r="P35" s="24">
        <v>23.430749027719962</v>
      </c>
      <c r="Q35" s="27"/>
      <c r="R35" s="11"/>
      <c r="S35" s="46"/>
    </row>
    <row r="36" spans="2:19" x14ac:dyDescent="0.3">
      <c r="I36" s="45"/>
      <c r="J36" s="2">
        <v>80</v>
      </c>
      <c r="K36" s="2">
        <v>182</v>
      </c>
      <c r="L36" s="28" t="s">
        <v>45</v>
      </c>
      <c r="M36" s="10">
        <f t="shared" si="0"/>
        <v>9.8994949366116654</v>
      </c>
      <c r="N36" s="20"/>
      <c r="O36" s="23" t="str">
        <v>XG</v>
      </c>
      <c r="P36" s="24">
        <v>32.015621187164243</v>
      </c>
      <c r="Q36" s="27"/>
      <c r="R36" s="11"/>
      <c r="S36" s="46"/>
    </row>
    <row r="37" spans="2:19" ht="15" thickBot="1" x14ac:dyDescent="0.35">
      <c r="I37" s="45"/>
      <c r="J37" s="2">
        <v>98</v>
      </c>
      <c r="K37" s="2">
        <v>195</v>
      </c>
      <c r="L37" s="28" t="s">
        <v>42</v>
      </c>
      <c r="M37" s="10">
        <f t="shared" si="0"/>
        <v>32.015621187164243</v>
      </c>
      <c r="N37" s="20"/>
      <c r="O37" s="25" t="str">
        <v>XG</v>
      </c>
      <c r="P37" s="26">
        <v>34.928498393145958</v>
      </c>
      <c r="Q37" s="27"/>
      <c r="R37" s="11"/>
      <c r="S37" s="46"/>
    </row>
    <row r="38" spans="2:19" x14ac:dyDescent="0.3">
      <c r="I38" s="45"/>
      <c r="M38" s="10"/>
      <c r="S38" s="46"/>
    </row>
    <row r="39" spans="2:19" ht="15" thickBot="1" x14ac:dyDescent="0.35">
      <c r="I39" s="45"/>
      <c r="J39" s="82" t="s">
        <v>46</v>
      </c>
      <c r="K39" s="82"/>
      <c r="S39" s="46"/>
    </row>
    <row r="40" spans="2:19" x14ac:dyDescent="0.3">
      <c r="I40" s="45"/>
      <c r="J40" s="83" t="s">
        <v>60</v>
      </c>
      <c r="K40" s="84"/>
      <c r="L40" s="85"/>
      <c r="S40" s="46"/>
    </row>
    <row r="41" spans="2:19" ht="15" thickBot="1" x14ac:dyDescent="0.35">
      <c r="I41" s="45"/>
      <c r="J41" s="86" t="s">
        <v>33</v>
      </c>
      <c r="K41" s="87" t="s">
        <v>34</v>
      </c>
      <c r="L41" s="88" t="s">
        <v>47</v>
      </c>
      <c r="S41" s="46"/>
    </row>
    <row r="42" spans="2:19" ht="15" thickBot="1" x14ac:dyDescent="0.35">
      <c r="I42" s="45"/>
      <c r="J42" s="13" t="s">
        <v>36</v>
      </c>
      <c r="K42" s="14" t="s">
        <v>37</v>
      </c>
      <c r="L42" s="29" t="s">
        <v>48</v>
      </c>
      <c r="S42" s="46"/>
    </row>
    <row r="43" spans="2:19" ht="15" thickBot="1" x14ac:dyDescent="0.35">
      <c r="I43" s="45"/>
      <c r="J43" s="51">
        <v>73</v>
      </c>
      <c r="K43" s="52">
        <v>175</v>
      </c>
      <c r="L43" s="89" t="str" cm="1">
        <f t="array" aca="1" ref="L43" ca="1">INDEX(_xlfn.ANCHORARRAY($Q$25),MATCH(MAX(COUNTIF(_xlfn.ANCHORARRAY($Q$25),_xlfn.ANCHORARRAY($Q$25))),COUNTIF(_xlfn.ANCHORARRAY($Q$25),_xlfn.ANCHORARRAY($Q$25)),0))</f>
        <v>G</v>
      </c>
      <c r="S43" s="46"/>
    </row>
    <row r="44" spans="2:19" x14ac:dyDescent="0.3">
      <c r="I44" s="45"/>
      <c r="L44" s="39"/>
      <c r="S44" s="46"/>
    </row>
    <row r="45" spans="2:19" x14ac:dyDescent="0.3">
      <c r="I45" s="45"/>
      <c r="L45" s="39"/>
      <c r="S45" s="46"/>
    </row>
    <row r="46" spans="2:19" x14ac:dyDescent="0.3">
      <c r="I46" s="45"/>
      <c r="S46" s="46"/>
    </row>
    <row r="47" spans="2:19" x14ac:dyDescent="0.3">
      <c r="I47" s="45"/>
      <c r="S47" s="46"/>
    </row>
    <row r="48" spans="2:19" x14ac:dyDescent="0.3">
      <c r="I48" s="45"/>
      <c r="S48" s="46"/>
    </row>
    <row r="49" spans="1:30" x14ac:dyDescent="0.3">
      <c r="I49" s="45"/>
      <c r="S49" s="46"/>
    </row>
    <row r="50" spans="1:30" x14ac:dyDescent="0.3">
      <c r="I50" s="45"/>
      <c r="M50" s="90"/>
      <c r="S50" s="46"/>
    </row>
    <row r="51" spans="1:30" x14ac:dyDescent="0.3">
      <c r="I51" s="45"/>
      <c r="S51" s="46"/>
    </row>
    <row r="52" spans="1:30" x14ac:dyDescent="0.3">
      <c r="I52" s="45"/>
      <c r="S52" s="46"/>
    </row>
    <row r="53" spans="1:30" x14ac:dyDescent="0.3">
      <c r="I53" s="45"/>
      <c r="S53" s="46"/>
    </row>
    <row r="54" spans="1:30" x14ac:dyDescent="0.3">
      <c r="I54" s="45"/>
      <c r="S54" s="46"/>
    </row>
    <row r="55" spans="1:30" ht="15" thickBot="1" x14ac:dyDescent="0.35">
      <c r="I55" s="51"/>
      <c r="J55" s="52"/>
      <c r="K55" s="52"/>
      <c r="L55" s="52"/>
      <c r="M55" s="52"/>
      <c r="N55" s="52"/>
      <c r="O55" s="52"/>
      <c r="P55" s="52"/>
      <c r="Q55" s="52"/>
      <c r="R55" s="52"/>
      <c r="S55" s="53"/>
    </row>
    <row r="56" spans="1:30" ht="15" thickBot="1" x14ac:dyDescent="0.35"/>
    <row r="57" spans="1:30" x14ac:dyDescent="0.3">
      <c r="J57" s="65" t="s">
        <v>52</v>
      </c>
      <c r="K57" s="66"/>
      <c r="L57" s="66"/>
      <c r="M57" s="66"/>
      <c r="N57" s="66"/>
      <c r="O57" s="66"/>
      <c r="P57" s="66"/>
      <c r="Q57" s="66"/>
      <c r="R57" s="67"/>
    </row>
    <row r="58" spans="1:30" ht="15" thickBot="1" x14ac:dyDescent="0.35">
      <c r="J58" s="68"/>
      <c r="K58" s="69"/>
      <c r="L58" s="69"/>
      <c r="M58" s="69"/>
      <c r="N58" s="69"/>
      <c r="O58" s="69"/>
      <c r="P58" s="69"/>
      <c r="Q58" s="69"/>
      <c r="R58" s="70"/>
    </row>
    <row r="60" spans="1:30" x14ac:dyDescent="0.3">
      <c r="A60" s="78" t="s">
        <v>0</v>
      </c>
      <c r="B60" s="79"/>
      <c r="C60" s="79"/>
      <c r="D60" s="79"/>
      <c r="E60" s="79"/>
      <c r="G60" s="78" t="s">
        <v>57</v>
      </c>
      <c r="H60" s="79"/>
      <c r="I60" s="79"/>
      <c r="J60" s="79"/>
      <c r="K60" s="79"/>
    </row>
    <row r="61" spans="1:30" x14ac:dyDescent="0.3">
      <c r="A61" s="1" t="s">
        <v>1</v>
      </c>
      <c r="B61" s="1" t="s">
        <v>2</v>
      </c>
      <c r="C61" s="1" t="s">
        <v>3</v>
      </c>
      <c r="D61" s="1" t="s">
        <v>4</v>
      </c>
      <c r="E61" s="1" t="s">
        <v>5</v>
      </c>
      <c r="G61" s="1" t="s">
        <v>1</v>
      </c>
      <c r="H61" s="1" t="s">
        <v>2</v>
      </c>
      <c r="I61" s="1" t="s">
        <v>3</v>
      </c>
      <c r="J61" s="1" t="s">
        <v>4</v>
      </c>
      <c r="K61" s="1" t="s">
        <v>5</v>
      </c>
      <c r="L61" t="s">
        <v>6</v>
      </c>
      <c r="M61" s="7" t="s">
        <v>26</v>
      </c>
      <c r="N61" s="8" t="s">
        <v>27</v>
      </c>
      <c r="O61" s="9" t="s">
        <v>28</v>
      </c>
      <c r="P61" s="9" t="s">
        <v>29</v>
      </c>
      <c r="Q61" s="9"/>
      <c r="W61" t="s">
        <v>54</v>
      </c>
      <c r="X61" t="s">
        <v>55</v>
      </c>
      <c r="Y61" s="41" t="s">
        <v>7</v>
      </c>
      <c r="AA61" t="s">
        <v>8</v>
      </c>
      <c r="AB61" t="s">
        <v>9</v>
      </c>
      <c r="AC61" t="s">
        <v>10</v>
      </c>
      <c r="AD61" t="s">
        <v>11</v>
      </c>
    </row>
    <row r="62" spans="1:30" x14ac:dyDescent="0.3">
      <c r="A62" s="2" t="s">
        <v>12</v>
      </c>
      <c r="B62" s="2" t="s">
        <v>13</v>
      </c>
      <c r="C62" s="2" t="s">
        <v>14</v>
      </c>
      <c r="D62" s="2" t="s">
        <v>15</v>
      </c>
      <c r="E62" s="2" t="s">
        <v>12</v>
      </c>
      <c r="G62" s="2">
        <v>1</v>
      </c>
      <c r="H62" s="2">
        <v>1</v>
      </c>
      <c r="I62" s="2">
        <v>1</v>
      </c>
      <c r="J62" s="2">
        <v>1</v>
      </c>
      <c r="K62" s="2">
        <v>1</v>
      </c>
      <c r="L62" s="31">
        <f>SQRT((G62-$G$72)^2 + (H62-$H$72)^2 + (I62-$I$72)^2 + (J62-$J$72)^2)</f>
        <v>0</v>
      </c>
      <c r="M62" s="2">
        <v>2</v>
      </c>
      <c r="N62" s="2" cm="1">
        <f t="array" ref="N62:O67">_xlfn._xlws.SORT(K62:L67, 2)</f>
        <v>1</v>
      </c>
      <c r="O62" s="10">
        <v>0</v>
      </c>
      <c r="P62" s="11" cm="1">
        <f t="array" aca="1" ref="P62:P63" ca="1">+OFFSET(N62,0,0,M62,1)</f>
        <v>1</v>
      </c>
      <c r="Q62" s="11"/>
      <c r="W62">
        <f>INDEX($G$62:$J$67, 1, MATCH($J$83, $G$61:$J$61, 0))</f>
        <v>1</v>
      </c>
      <c r="X62">
        <f>INDEX($G$62:$J$67, 1, MATCH($J$84, $G$61:$J$61, 0))</f>
        <v>1</v>
      </c>
      <c r="Y62" s="41">
        <f t="shared" ref="Y62:Y67" si="1">K62</f>
        <v>1</v>
      </c>
      <c r="AA62">
        <f t="shared" ref="AA62:AA67" si="2">IF($Y62=1, $W62, NA())</f>
        <v>1</v>
      </c>
      <c r="AB62">
        <f t="shared" ref="AB62:AB67" si="3">IF($Y62=1, $X62, NA())</f>
        <v>1</v>
      </c>
      <c r="AC62" t="e">
        <f t="shared" ref="AC62:AC67" si="4">IF($Y62=0, $W62, NA())</f>
        <v>#N/A</v>
      </c>
      <c r="AD62" t="e">
        <f t="shared" ref="AD62:AD67" si="5">IF($Y62=0, $X62, NA())</f>
        <v>#N/A</v>
      </c>
    </row>
    <row r="63" spans="1:30" x14ac:dyDescent="0.3">
      <c r="A63" s="2" t="s">
        <v>16</v>
      </c>
      <c r="B63" s="2" t="s">
        <v>13</v>
      </c>
      <c r="C63" s="2" t="s">
        <v>17</v>
      </c>
      <c r="D63" s="2" t="s">
        <v>18</v>
      </c>
      <c r="E63" s="2" t="s">
        <v>16</v>
      </c>
      <c r="G63" s="2">
        <v>0</v>
      </c>
      <c r="H63" s="2">
        <v>1</v>
      </c>
      <c r="I63" s="2">
        <v>0</v>
      </c>
      <c r="J63" s="2">
        <v>2</v>
      </c>
      <c r="K63" s="2">
        <v>0</v>
      </c>
      <c r="L63" s="31">
        <f t="shared" ref="L63:L67" si="6">SQRT((G63-$G$72)^2 + (H63-$H$72)^2 + (I63-$I$72)^2 + (J63-$J$72)^2)</f>
        <v>1.7320508075688772</v>
      </c>
      <c r="M63" s="2"/>
      <c r="N63" s="2">
        <v>0</v>
      </c>
      <c r="O63" s="10">
        <v>1.4142135623730951</v>
      </c>
      <c r="P63" s="11">
        <f ca="1"/>
        <v>0</v>
      </c>
      <c r="Q63" s="11"/>
      <c r="W63">
        <f>INDEX($G$62:$J$67, 2, MATCH($J$83, $G$61:$J$61, 0))</f>
        <v>1</v>
      </c>
      <c r="X63">
        <f>INDEX($G$62:$J$67, 2, MATCH($J$84, $G$61:$J$61, 0))</f>
        <v>0</v>
      </c>
      <c r="Y63" s="41">
        <f t="shared" si="1"/>
        <v>0</v>
      </c>
      <c r="AA63" t="e">
        <f t="shared" si="2"/>
        <v>#N/A</v>
      </c>
      <c r="AB63" t="e">
        <f t="shared" si="3"/>
        <v>#N/A</v>
      </c>
      <c r="AC63">
        <f t="shared" si="4"/>
        <v>1</v>
      </c>
      <c r="AD63">
        <f t="shared" si="5"/>
        <v>0</v>
      </c>
    </row>
    <row r="64" spans="1:30" x14ac:dyDescent="0.3">
      <c r="A64" s="2" t="s">
        <v>16</v>
      </c>
      <c r="B64" s="2" t="s">
        <v>20</v>
      </c>
      <c r="C64" s="2" t="s">
        <v>17</v>
      </c>
      <c r="D64" s="2" t="s">
        <v>21</v>
      </c>
      <c r="E64" s="2" t="s">
        <v>12</v>
      </c>
      <c r="G64" s="2">
        <v>0</v>
      </c>
      <c r="H64" s="2">
        <v>2</v>
      </c>
      <c r="I64" s="2">
        <v>0</v>
      </c>
      <c r="J64" s="2">
        <v>3</v>
      </c>
      <c r="K64" s="2">
        <v>1</v>
      </c>
      <c r="L64" s="31">
        <f t="shared" si="6"/>
        <v>2.6457513110645907</v>
      </c>
      <c r="M64" s="2"/>
      <c r="N64" s="2">
        <v>0</v>
      </c>
      <c r="O64" s="10">
        <v>1.7320508075688772</v>
      </c>
      <c r="P64" s="11"/>
      <c r="Q64" s="11"/>
      <c r="W64">
        <f>INDEX($G$62:$J$67, 3, MATCH($J$83, $G$61:$J$61, 0))</f>
        <v>2</v>
      </c>
      <c r="X64">
        <f>INDEX($G$62:$J$67, 3, MATCH($J$84, $G$61:$J$61, 0))</f>
        <v>0</v>
      </c>
      <c r="Y64" s="41">
        <f t="shared" si="1"/>
        <v>1</v>
      </c>
      <c r="AA64">
        <f t="shared" si="2"/>
        <v>2</v>
      </c>
      <c r="AB64">
        <f t="shared" si="3"/>
        <v>0</v>
      </c>
      <c r="AC64" t="e">
        <f t="shared" si="4"/>
        <v>#N/A</v>
      </c>
      <c r="AD64" t="e">
        <f t="shared" si="5"/>
        <v>#N/A</v>
      </c>
    </row>
    <row r="65" spans="1:30" x14ac:dyDescent="0.3">
      <c r="A65" s="2" t="s">
        <v>16</v>
      </c>
      <c r="B65" s="2" t="s">
        <v>23</v>
      </c>
      <c r="C65" s="2" t="s">
        <v>14</v>
      </c>
      <c r="D65" s="2" t="s">
        <v>21</v>
      </c>
      <c r="E65" s="2" t="s">
        <v>12</v>
      </c>
      <c r="G65" s="2">
        <v>0</v>
      </c>
      <c r="H65" s="2">
        <v>3</v>
      </c>
      <c r="I65" s="2">
        <v>1</v>
      </c>
      <c r="J65" s="2">
        <v>3</v>
      </c>
      <c r="K65" s="2">
        <v>1</v>
      </c>
      <c r="L65" s="31">
        <f t="shared" si="6"/>
        <v>3</v>
      </c>
      <c r="M65" s="2"/>
      <c r="N65" s="2">
        <v>1</v>
      </c>
      <c r="O65" s="10">
        <v>2.2360679774997898</v>
      </c>
      <c r="P65" s="11"/>
      <c r="Q65" s="11"/>
      <c r="W65">
        <f>INDEX($G$62:$J$67, 4, MATCH($J$83, $G$61:$J$61, 0))</f>
        <v>3</v>
      </c>
      <c r="X65">
        <f>INDEX($G$62:$J$67, 4, MATCH($J$84, $G$61:$J$61, 0))</f>
        <v>0</v>
      </c>
      <c r="Y65" s="41">
        <f t="shared" si="1"/>
        <v>1</v>
      </c>
      <c r="AA65">
        <f t="shared" si="2"/>
        <v>3</v>
      </c>
      <c r="AB65">
        <f t="shared" si="3"/>
        <v>0</v>
      </c>
      <c r="AC65" t="e">
        <f t="shared" si="4"/>
        <v>#N/A</v>
      </c>
      <c r="AD65" t="e">
        <f t="shared" si="5"/>
        <v>#N/A</v>
      </c>
    </row>
    <row r="66" spans="1:30" x14ac:dyDescent="0.3">
      <c r="A66" s="2" t="s">
        <v>12</v>
      </c>
      <c r="B66" s="2" t="s">
        <v>20</v>
      </c>
      <c r="C66" s="2" t="s">
        <v>14</v>
      </c>
      <c r="D66" s="2" t="s">
        <v>18</v>
      </c>
      <c r="E66" s="2" t="s">
        <v>16</v>
      </c>
      <c r="G66" s="2">
        <v>1</v>
      </c>
      <c r="H66" s="2">
        <v>2</v>
      </c>
      <c r="I66" s="2">
        <v>1</v>
      </c>
      <c r="J66" s="2">
        <v>2</v>
      </c>
      <c r="K66" s="2">
        <v>0</v>
      </c>
      <c r="L66" s="31">
        <f t="shared" si="6"/>
        <v>1.4142135623730951</v>
      </c>
      <c r="M66" s="2"/>
      <c r="N66" s="2">
        <v>1</v>
      </c>
      <c r="O66" s="10">
        <v>2.6457513110645907</v>
      </c>
      <c r="P66" s="11"/>
      <c r="Q66" s="11"/>
      <c r="W66">
        <f>INDEX($G$62:$J$67, 5, MATCH($J$83, $G$61:$J$61, 0))</f>
        <v>2</v>
      </c>
      <c r="X66">
        <f>INDEX($G$62:$J$67, 5, MATCH($J$84, $G$61:$J$61, 0))</f>
        <v>1</v>
      </c>
      <c r="Y66" s="41">
        <f t="shared" si="1"/>
        <v>0</v>
      </c>
      <c r="AA66" t="e">
        <f t="shared" si="2"/>
        <v>#N/A</v>
      </c>
      <c r="AB66" t="e">
        <f t="shared" si="3"/>
        <v>#N/A</v>
      </c>
      <c r="AC66">
        <f t="shared" si="4"/>
        <v>2</v>
      </c>
      <c r="AD66">
        <f t="shared" si="5"/>
        <v>1</v>
      </c>
    </row>
    <row r="67" spans="1:30" x14ac:dyDescent="0.3">
      <c r="A67" s="2" t="s">
        <v>12</v>
      </c>
      <c r="B67" s="2" t="s">
        <v>23</v>
      </c>
      <c r="C67" s="2" t="s">
        <v>17</v>
      </c>
      <c r="D67" s="2" t="s">
        <v>15</v>
      </c>
      <c r="E67" s="2" t="s">
        <v>12</v>
      </c>
      <c r="G67" s="2">
        <v>1</v>
      </c>
      <c r="H67" s="2">
        <v>3</v>
      </c>
      <c r="I67" s="2">
        <v>0</v>
      </c>
      <c r="J67" s="2">
        <v>1</v>
      </c>
      <c r="K67" s="2">
        <v>1</v>
      </c>
      <c r="L67" s="31">
        <f t="shared" si="6"/>
        <v>2.2360679774997898</v>
      </c>
      <c r="M67" s="2"/>
      <c r="N67" s="2">
        <v>1</v>
      </c>
      <c r="O67" s="10">
        <v>3</v>
      </c>
      <c r="P67" s="11"/>
      <c r="Q67" s="11"/>
      <c r="W67">
        <f>INDEX($G$62:$J$67, 6, MATCH($J$83, $G$61:$J$61, 0))</f>
        <v>3</v>
      </c>
      <c r="X67">
        <f>INDEX($G$62:$J$67, 6, MATCH($J$84, $G$61:$J$61, 0))</f>
        <v>1</v>
      </c>
      <c r="Y67" s="41">
        <f t="shared" si="1"/>
        <v>1</v>
      </c>
      <c r="AA67">
        <f t="shared" si="2"/>
        <v>3</v>
      </c>
      <c r="AB67">
        <f t="shared" si="3"/>
        <v>1</v>
      </c>
      <c r="AC67" t="e">
        <f t="shared" si="4"/>
        <v>#N/A</v>
      </c>
      <c r="AD67" t="e">
        <f t="shared" si="5"/>
        <v>#N/A</v>
      </c>
    </row>
    <row r="68" spans="1:30" x14ac:dyDescent="0.3">
      <c r="A68" s="39"/>
      <c r="B68" s="39"/>
      <c r="C68" s="39"/>
      <c r="D68" s="39"/>
      <c r="E68" s="39"/>
      <c r="G68" s="39"/>
      <c r="H68" s="39"/>
      <c r="I68" s="39"/>
      <c r="J68" s="39"/>
      <c r="K68" s="39"/>
      <c r="L68" s="31"/>
      <c r="M68" s="39"/>
      <c r="N68" s="39"/>
      <c r="O68" s="31"/>
    </row>
    <row r="69" spans="1:30" x14ac:dyDescent="0.3">
      <c r="A69" s="39"/>
      <c r="B69" s="39"/>
      <c r="C69" s="39"/>
      <c r="D69" s="39"/>
      <c r="E69" s="39"/>
      <c r="G69" s="39"/>
      <c r="H69" s="39"/>
      <c r="I69" s="39"/>
      <c r="J69" s="39"/>
      <c r="K69" s="39"/>
      <c r="L69" s="31"/>
      <c r="M69" s="39"/>
      <c r="N69" s="39"/>
      <c r="O69" s="31"/>
    </row>
    <row r="70" spans="1:30" ht="15" thickBot="1" x14ac:dyDescent="0.35">
      <c r="A70" s="39"/>
      <c r="B70" s="39"/>
      <c r="C70" s="39"/>
      <c r="D70" s="39"/>
      <c r="E70" s="39"/>
      <c r="G70" s="39"/>
      <c r="H70" s="39"/>
      <c r="I70" s="39"/>
      <c r="J70" s="39"/>
      <c r="K70" s="39"/>
      <c r="L70" s="31"/>
      <c r="M70" s="39"/>
      <c r="N70" s="39"/>
      <c r="O70" s="31"/>
    </row>
    <row r="71" spans="1:30" ht="15" thickBot="1" x14ac:dyDescent="0.35">
      <c r="G71" s="71" t="s">
        <v>53</v>
      </c>
      <c r="H71" s="72"/>
      <c r="I71" s="72"/>
      <c r="J71" s="73"/>
      <c r="K71" s="30" t="s">
        <v>49</v>
      </c>
    </row>
    <row r="72" spans="1:30" x14ac:dyDescent="0.3">
      <c r="A72" s="4" t="s">
        <v>12</v>
      </c>
      <c r="B72" s="5" t="s">
        <v>13</v>
      </c>
      <c r="C72" s="5" t="s">
        <v>14</v>
      </c>
      <c r="D72" s="5" t="s">
        <v>15</v>
      </c>
      <c r="F72" s="6" t="s">
        <v>25</v>
      </c>
      <c r="G72" s="40">
        <v>1</v>
      </c>
      <c r="H72" s="40">
        <v>1</v>
      </c>
      <c r="I72" s="40">
        <v>1</v>
      </c>
      <c r="J72" s="40">
        <v>1</v>
      </c>
      <c r="K72" cm="1">
        <f t="array" aca="1" ref="K72" ca="1">INDEX(_xlfn.ANCHORARRAY($P$62),MATCH(MAX(COUNTIF(_xlfn.ANCHORARRAY($P$62),_xlfn.ANCHORARRAY($P$62))),COUNTIF(_xlfn.ANCHORARRAY($P$62),_xlfn.ANCHORARRAY($P$62)),0))</f>
        <v>1</v>
      </c>
      <c r="W72">
        <f>INDEX($G$72:$J$72, 1, MATCH($J$83, $G$61:$J$61, 0))</f>
        <v>1</v>
      </c>
      <c r="X72">
        <f>INDEX($G$72:$J$72, 1, MATCH($J$84, $G$61:$J$61, 0))</f>
        <v>1</v>
      </c>
    </row>
    <row r="73" spans="1:30" ht="15" thickBot="1" x14ac:dyDescent="0.35"/>
    <row r="74" spans="1:30" ht="15" thickBot="1" x14ac:dyDescent="0.35">
      <c r="H74" s="42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4"/>
    </row>
    <row r="75" spans="1:30" ht="15" thickBot="1" x14ac:dyDescent="0.35">
      <c r="H75" s="45"/>
      <c r="M75" s="74" t="s">
        <v>56</v>
      </c>
      <c r="N75" s="75"/>
      <c r="O75" s="75"/>
      <c r="P75" s="75"/>
      <c r="Q75" s="75"/>
      <c r="R75" s="76"/>
      <c r="S75" s="46"/>
    </row>
    <row r="76" spans="1:30" x14ac:dyDescent="0.3">
      <c r="H76" s="45"/>
      <c r="S76" s="46"/>
    </row>
    <row r="77" spans="1:30" x14ac:dyDescent="0.3">
      <c r="H77" s="45"/>
      <c r="S77" s="46"/>
    </row>
    <row r="78" spans="1:30" x14ac:dyDescent="0.3">
      <c r="H78" s="45"/>
      <c r="S78" s="46"/>
    </row>
    <row r="79" spans="1:30" x14ac:dyDescent="0.3">
      <c r="H79" s="45"/>
      <c r="S79" s="46"/>
    </row>
    <row r="80" spans="1:30" x14ac:dyDescent="0.3">
      <c r="H80" s="45"/>
      <c r="S80" s="46"/>
    </row>
    <row r="81" spans="8:19" ht="15.6" x14ac:dyDescent="0.3">
      <c r="H81" s="45"/>
      <c r="I81" s="80" t="s">
        <v>58</v>
      </c>
      <c r="J81" s="80"/>
      <c r="K81" s="80"/>
      <c r="S81" s="46"/>
    </row>
    <row r="82" spans="8:19" x14ac:dyDescent="0.3">
      <c r="H82" s="45"/>
      <c r="S82" s="46"/>
    </row>
    <row r="83" spans="8:19" x14ac:dyDescent="0.3">
      <c r="H83" s="45"/>
      <c r="I83" t="s">
        <v>19</v>
      </c>
      <c r="J83" s="3" t="s">
        <v>2</v>
      </c>
      <c r="S83" s="46"/>
    </row>
    <row r="84" spans="8:19" x14ac:dyDescent="0.3">
      <c r="H84" s="45"/>
      <c r="I84" t="s">
        <v>22</v>
      </c>
      <c r="J84" s="3" t="s">
        <v>1</v>
      </c>
      <c r="S84" s="46"/>
    </row>
    <row r="85" spans="8:19" x14ac:dyDescent="0.3">
      <c r="H85" s="45"/>
      <c r="S85" s="46"/>
    </row>
    <row r="86" spans="8:19" x14ac:dyDescent="0.3">
      <c r="H86" s="45"/>
      <c r="I86" t="s">
        <v>24</v>
      </c>
      <c r="J86" s="3">
        <f>+M62</f>
        <v>2</v>
      </c>
      <c r="S86" s="46"/>
    </row>
    <row r="87" spans="8:19" x14ac:dyDescent="0.3">
      <c r="H87" s="45"/>
      <c r="S87" s="46"/>
    </row>
    <row r="88" spans="8:19" x14ac:dyDescent="0.3">
      <c r="H88" s="45"/>
      <c r="M88" s="47"/>
      <c r="S88" s="46"/>
    </row>
    <row r="89" spans="8:19" x14ac:dyDescent="0.3">
      <c r="H89" s="45"/>
      <c r="S89" s="46"/>
    </row>
    <row r="90" spans="8:19" ht="18" x14ac:dyDescent="0.35">
      <c r="H90" s="45"/>
      <c r="M90" s="48"/>
      <c r="N90" s="49"/>
      <c r="S90" s="46"/>
    </row>
    <row r="91" spans="8:19" x14ac:dyDescent="0.3">
      <c r="H91" s="45"/>
      <c r="N91" s="50"/>
      <c r="S91" s="46"/>
    </row>
    <row r="92" spans="8:19" x14ac:dyDescent="0.3">
      <c r="H92" s="45"/>
      <c r="S92" s="46"/>
    </row>
    <row r="93" spans="8:19" x14ac:dyDescent="0.3">
      <c r="H93" s="45"/>
      <c r="S93" s="46"/>
    </row>
    <row r="94" spans="8:19" x14ac:dyDescent="0.3">
      <c r="H94" s="45"/>
      <c r="S94" s="46"/>
    </row>
    <row r="95" spans="8:19" x14ac:dyDescent="0.3">
      <c r="H95" s="45"/>
      <c r="S95" s="46"/>
    </row>
    <row r="96" spans="8:19" x14ac:dyDescent="0.3">
      <c r="H96" s="45"/>
      <c r="S96" s="46"/>
    </row>
    <row r="97" spans="8:19" ht="15" thickBot="1" x14ac:dyDescent="0.35">
      <c r="H97" s="51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3"/>
    </row>
  </sheetData>
  <mergeCells count="12">
    <mergeCell ref="A60:E60"/>
    <mergeCell ref="I81:K81"/>
    <mergeCell ref="G60:K60"/>
    <mergeCell ref="B21:D21"/>
    <mergeCell ref="J39:K39"/>
    <mergeCell ref="J40:L40"/>
    <mergeCell ref="F2:R3"/>
    <mergeCell ref="J21:R21"/>
    <mergeCell ref="J57:R58"/>
    <mergeCell ref="G71:J71"/>
    <mergeCell ref="M75:R75"/>
    <mergeCell ref="F4:R4"/>
  </mergeCells>
  <conditionalFormatting sqref="L62:L70">
    <cfRule type="colorScale" priority="1">
      <colorScale>
        <cfvo type="min"/>
        <cfvo type="max"/>
        <color rgb="FF63BE7B"/>
        <color rgb="FFF8696B"/>
      </colorScale>
    </cfRule>
  </conditionalFormatting>
  <dataValidations count="1">
    <dataValidation type="list" sqref="J83:J84" xr:uid="{00000000-0002-0000-0000-000000000000}">
      <formula1>"Baño,Regalo,Género,Cine"</formula1>
    </dataValidation>
  </dataValidation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KNN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Vismark Abner Choque Cachi</cp:lastModifiedBy>
  <dcterms:created xsi:type="dcterms:W3CDTF">2025-12-12T18:08:39Z</dcterms:created>
  <dcterms:modified xsi:type="dcterms:W3CDTF">2025-12-13T03:42:04Z</dcterms:modified>
</cp:coreProperties>
</file>